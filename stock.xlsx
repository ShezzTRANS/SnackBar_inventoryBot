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359a9e308f18fd2/Desktop/ME/"/>
    </mc:Choice>
  </mc:AlternateContent>
  <xr:revisionPtr revIDLastSave="0" documentId="14_{36DDBDA0-8582-45AF-8928-4DB4E7FBC9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" sheetId="1" r:id="rId1"/>
    <sheet name="Daily Sales Log" sheetId="2" r:id="rId2"/>
    <sheet name="ML Predi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8" i="2"/>
  <c r="G7" i="2"/>
  <c r="G6" i="2"/>
  <c r="G5" i="2"/>
  <c r="G4" i="2"/>
  <c r="G3" i="2"/>
  <c r="B17" i="1"/>
  <c r="G14" i="1"/>
  <c r="I13" i="1"/>
  <c r="H13" i="1"/>
  <c r="F13" i="1"/>
  <c r="I12" i="1"/>
  <c r="H12" i="1"/>
  <c r="F12" i="1"/>
  <c r="I11" i="1"/>
  <c r="H11" i="1"/>
  <c r="F11" i="1"/>
  <c r="I10" i="1"/>
  <c r="H10" i="1"/>
  <c r="F10" i="1"/>
  <c r="I9" i="1"/>
  <c r="H9" i="1"/>
  <c r="F9" i="1"/>
  <c r="I8" i="1"/>
  <c r="H8" i="1"/>
  <c r="F8" i="1"/>
  <c r="I7" i="1"/>
  <c r="H7" i="1"/>
  <c r="F7" i="1"/>
  <c r="I6" i="1"/>
  <c r="H6" i="1"/>
  <c r="F6" i="1"/>
  <c r="I5" i="1"/>
  <c r="H5" i="1"/>
  <c r="F5" i="1"/>
  <c r="I4" i="1"/>
  <c r="H4" i="1"/>
  <c r="F4" i="1"/>
  <c r="I14" i="1" l="1"/>
  <c r="H14" i="1"/>
  <c r="B16" i="1" s="1"/>
</calcChain>
</file>

<file path=xl/sharedStrings.xml><?xml version="1.0" encoding="utf-8"?>
<sst xmlns="http://schemas.openxmlformats.org/spreadsheetml/2006/main" count="45" uniqueCount="38">
  <si>
    <t>🏪  TUCK SHOP — INVENTORY TRACKER</t>
  </si>
  <si>
    <t>Yellow cells = manual entry   |   Black cells = auto-calculated</t>
  </si>
  <si>
    <t>Product</t>
  </si>
  <si>
    <t>Unit Cost (R)</t>
  </si>
  <si>
    <t>Selling Price (R)</t>
  </si>
  <si>
    <t>Storeroom Qty</t>
  </si>
  <si>
    <t>Floor Qty</t>
  </si>
  <si>
    <t>Total Stock</t>
  </si>
  <si>
    <t>Units Sold Today</t>
  </si>
  <si>
    <t>Revenue Today (R)</t>
  </si>
  <si>
    <t>Profit Today (R)</t>
  </si>
  <si>
    <t>Coca-Cola 330ml</t>
  </si>
  <si>
    <t>Simba Chips 30g</t>
  </si>
  <si>
    <t>Bread (700g)</t>
  </si>
  <si>
    <t>Milk 1L</t>
  </si>
  <si>
    <t>Airtime R10</t>
  </si>
  <si>
    <t>Eggs (each)</t>
  </si>
  <si>
    <t>Maggi Noodles</t>
  </si>
  <si>
    <t>Juice 500ml</t>
  </si>
  <si>
    <t>Cigarette (each)</t>
  </si>
  <si>
    <t>Water 500ml</t>
  </si>
  <si>
    <t>📊  DAILY TOTALS</t>
  </si>
  <si>
    <t>Profit Margin %</t>
  </si>
  <si>
    <t>Remaining Stock Value (R)</t>
  </si>
  <si>
    <t>📅  DAILY SALES LOG  (add one row per day)</t>
  </si>
  <si>
    <t>Date</t>
  </si>
  <si>
    <t>WhatsApp Sales Text</t>
  </si>
  <si>
    <t>Total Units Sold</t>
  </si>
  <si>
    <t>Total Revenue (R)</t>
  </si>
  <si>
    <t>Total Cost (R)</t>
  </si>
  <si>
    <t>Gross Profit (R)</t>
  </si>
  <si>
    <t>Margin %</t>
  </si>
  <si>
    <t>Sold: Coke x3, Chips x5, Bread x2 ...</t>
  </si>
  <si>
    <t>🤖  ML PROFIT PREDICTIONS  (auto-updated by chatbot)</t>
  </si>
  <si>
    <t>Predicted Revenue (R)</t>
  </si>
  <si>
    <t>Predicted Profit (R)</t>
  </si>
  <si>
    <t>Confidence</t>
  </si>
  <si>
    <t>← Run chatbot to populate 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</si>
</sst>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#,##0.00"/>
    <numFmt numFmtId="165" formatCode="0.0%"/>
    <numFmt numFmtId="166" formatCode="yyyy\-mm\-dd"/>
  </numFmts>
  <fonts count="13" x14ac:knownFonts="1">
    <font>
      <sz val="11"/>
      <color theme="1"/>
      <name val="Calibri"/>
      <family val="2"/>
      <scheme val="minor"/>
    </font>
    <font>
      <b/>
      <sz val="16"/>
      <color rgb="FF1B4332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sz val="10"/>
      <color rgb="FF0000CC"/>
      <name val="Arial"/>
    </font>
    <font>
      <b/>
      <sz val="10"/>
      <name val="Arial"/>
    </font>
    <font>
      <b/>
      <sz val="11"/>
      <color rgb="FF1B4332"/>
      <name val="Arial"/>
    </font>
    <font>
      <b/>
      <sz val="11"/>
      <name val="Arial"/>
    </font>
    <font>
      <b/>
      <sz val="11"/>
      <color rgb="FF1B4332"/>
      <name val="Arial"/>
    </font>
    <font>
      <b/>
      <sz val="14"/>
      <color rgb="FF1B4332"/>
      <name val="Arial"/>
    </font>
    <font>
      <b/>
      <sz val="13"/>
      <color rgb="FF1B4332"/>
      <name val="Arial"/>
    </font>
    <font>
      <i/>
      <sz val="11"/>
      <color rgb="FF999999"/>
      <name val="Arial"/>
    </font>
  </fonts>
  <fills count="6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0FFF4"/>
      </patternFill>
    </fill>
    <fill>
      <patternFill patternType="solid">
        <fgColor rgb="FFFFF9C4"/>
      </patternFill>
    </fill>
    <fill>
      <patternFill patternType="solid">
        <fgColor rgb="FFD8F3DC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medium">
        <color rgb="FF1B4332"/>
      </left>
      <right style="medium">
        <color rgb="FF1B4332"/>
      </right>
      <top style="medium">
        <color rgb="FF1B4332"/>
      </top>
      <bottom style="medium">
        <color rgb="FF1B433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64" fontId="5" fillId="4" borderId="1" xfId="0" applyNumberFormat="1" applyFont="1" applyFill="1" applyBorder="1"/>
    <xf numFmtId="0" fontId="5" fillId="4" borderId="1" xfId="0" applyFont="1" applyFill="1" applyBorder="1"/>
    <xf numFmtId="0" fontId="6" fillId="3" borderId="1" xfId="0" applyFont="1" applyFill="1" applyBorder="1"/>
    <xf numFmtId="164" fontId="4" fillId="3" borderId="1" xfId="0" applyNumberFormat="1" applyFont="1" applyFill="1" applyBorder="1"/>
    <xf numFmtId="0" fontId="7" fillId="5" borderId="2" xfId="0" applyFont="1" applyFill="1" applyBorder="1"/>
    <xf numFmtId="0" fontId="0" fillId="5" borderId="2" xfId="0" applyFill="1" applyBorder="1"/>
    <xf numFmtId="0" fontId="8" fillId="5" borderId="2" xfId="0" applyFont="1" applyFill="1" applyBorder="1"/>
    <xf numFmtId="164" fontId="7" fillId="5" borderId="2" xfId="0" applyNumberFormat="1" applyFont="1" applyFill="1" applyBorder="1"/>
    <xf numFmtId="0" fontId="8" fillId="0" borderId="0" xfId="0" applyFont="1"/>
    <xf numFmtId="165" fontId="9" fillId="0" borderId="0" xfId="0" applyNumberFormat="1" applyFont="1"/>
    <xf numFmtId="164" fontId="0" fillId="0" borderId="0" xfId="0" applyNumberFormat="1"/>
    <xf numFmtId="166" fontId="4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1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showGridLines="0" tabSelected="1" workbookViewId="0">
      <pane ySplit="3" topLeftCell="A7" activePane="bottomLeft" state="frozen"/>
      <selection pane="bottomLeft" activeCell="F3" sqref="F3"/>
    </sheetView>
  </sheetViews>
  <sheetFormatPr defaultRowHeight="14.5" x14ac:dyDescent="0.35"/>
  <cols>
    <col min="1" max="1" width="20" customWidth="1"/>
    <col min="2" max="2" width="14" customWidth="1"/>
    <col min="3" max="3" width="16" customWidth="1"/>
    <col min="4" max="4" width="14" customWidth="1"/>
    <col min="5" max="6" width="12" customWidth="1"/>
    <col min="7" max="7" width="15" customWidth="1"/>
    <col min="8" max="9" width="16" customWidth="1"/>
  </cols>
  <sheetData>
    <row r="1" spans="1:9" ht="36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35">
      <c r="A2" s="21" t="s">
        <v>1</v>
      </c>
      <c r="B2" s="20"/>
      <c r="C2" s="20"/>
      <c r="D2" s="20"/>
      <c r="E2" s="20"/>
      <c r="F2" s="20"/>
      <c r="G2" s="20"/>
      <c r="H2" s="20"/>
      <c r="I2" s="20"/>
    </row>
    <row r="3" spans="1:9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35">
      <c r="A4" s="2" t="s">
        <v>11</v>
      </c>
      <c r="B4" s="3">
        <v>140</v>
      </c>
      <c r="C4" s="3">
        <v>30</v>
      </c>
      <c r="D4" s="4">
        <v>40</v>
      </c>
      <c r="E4" s="4">
        <v>10</v>
      </c>
      <c r="F4" s="5">
        <f t="shared" ref="F4:F13" si="0">D4+E4</f>
        <v>50</v>
      </c>
      <c r="G4" s="4">
        <v>3</v>
      </c>
      <c r="H4" s="6">
        <f t="shared" ref="H4:H13" si="1">G4*C4</f>
        <v>90</v>
      </c>
      <c r="I4" s="6">
        <f t="shared" ref="I4:I13" si="2">G4*(C4-B4)</f>
        <v>-330</v>
      </c>
    </row>
    <row r="5" spans="1:9" x14ac:dyDescent="0.35">
      <c r="A5" s="2" t="s">
        <v>12</v>
      </c>
      <c r="B5" s="3">
        <v>4.5</v>
      </c>
      <c r="C5" s="3">
        <v>8</v>
      </c>
      <c r="D5" s="4">
        <v>20</v>
      </c>
      <c r="E5" s="4">
        <v>10</v>
      </c>
      <c r="F5" s="5">
        <f t="shared" si="0"/>
        <v>30</v>
      </c>
      <c r="G5" s="4">
        <v>2</v>
      </c>
      <c r="H5" s="6">
        <f t="shared" si="1"/>
        <v>16</v>
      </c>
      <c r="I5" s="6">
        <f t="shared" si="2"/>
        <v>7</v>
      </c>
    </row>
    <row r="6" spans="1:9" x14ac:dyDescent="0.35">
      <c r="A6" s="2" t="s">
        <v>13</v>
      </c>
      <c r="B6" s="3">
        <v>14</v>
      </c>
      <c r="C6" s="3">
        <v>20</v>
      </c>
      <c r="D6" s="4">
        <v>20</v>
      </c>
      <c r="E6" s="4">
        <v>10</v>
      </c>
      <c r="F6" s="5">
        <f t="shared" si="0"/>
        <v>30</v>
      </c>
      <c r="G6" s="4">
        <v>5</v>
      </c>
      <c r="H6" s="6">
        <f t="shared" si="1"/>
        <v>100</v>
      </c>
      <c r="I6" s="6">
        <f t="shared" si="2"/>
        <v>30</v>
      </c>
    </row>
    <row r="7" spans="1:9" x14ac:dyDescent="0.35">
      <c r="A7" s="2" t="s">
        <v>14</v>
      </c>
      <c r="B7" s="3">
        <v>17</v>
      </c>
      <c r="C7" s="3">
        <v>22</v>
      </c>
      <c r="D7" s="4">
        <v>20</v>
      </c>
      <c r="E7" s="4">
        <v>10</v>
      </c>
      <c r="F7" s="5">
        <f t="shared" si="0"/>
        <v>30</v>
      </c>
      <c r="G7" s="4">
        <v>1</v>
      </c>
      <c r="H7" s="6">
        <f t="shared" si="1"/>
        <v>22</v>
      </c>
      <c r="I7" s="6">
        <f t="shared" si="2"/>
        <v>5</v>
      </c>
    </row>
    <row r="8" spans="1:9" x14ac:dyDescent="0.35">
      <c r="A8" s="2" t="s">
        <v>15</v>
      </c>
      <c r="B8" s="3">
        <v>9.5</v>
      </c>
      <c r="C8" s="3">
        <v>10</v>
      </c>
      <c r="D8" s="4">
        <v>20</v>
      </c>
      <c r="E8" s="4">
        <v>10</v>
      </c>
      <c r="F8" s="5">
        <f t="shared" si="0"/>
        <v>30</v>
      </c>
      <c r="G8" s="4">
        <v>5</v>
      </c>
      <c r="H8" s="6">
        <f t="shared" si="1"/>
        <v>50</v>
      </c>
      <c r="I8" s="6">
        <f t="shared" si="2"/>
        <v>2.5</v>
      </c>
    </row>
    <row r="9" spans="1:9" x14ac:dyDescent="0.35">
      <c r="A9" s="2" t="s">
        <v>16</v>
      </c>
      <c r="B9" s="3">
        <v>2.5</v>
      </c>
      <c r="C9" s="3">
        <v>4</v>
      </c>
      <c r="D9" s="4">
        <v>20</v>
      </c>
      <c r="E9" s="4">
        <v>10</v>
      </c>
      <c r="F9" s="5">
        <f t="shared" si="0"/>
        <v>30</v>
      </c>
      <c r="G9" s="4">
        <v>4</v>
      </c>
      <c r="H9" s="6">
        <f t="shared" si="1"/>
        <v>16</v>
      </c>
      <c r="I9" s="6">
        <f t="shared" si="2"/>
        <v>6</v>
      </c>
    </row>
    <row r="10" spans="1:9" x14ac:dyDescent="0.35">
      <c r="A10" s="2" t="s">
        <v>17</v>
      </c>
      <c r="B10" s="3">
        <v>3.5</v>
      </c>
      <c r="C10" s="3">
        <v>6</v>
      </c>
      <c r="D10" s="4">
        <v>20</v>
      </c>
      <c r="E10" s="4">
        <v>10</v>
      </c>
      <c r="F10" s="5">
        <f t="shared" si="0"/>
        <v>30</v>
      </c>
      <c r="G10" s="4">
        <v>3</v>
      </c>
      <c r="H10" s="6">
        <f t="shared" si="1"/>
        <v>18</v>
      </c>
      <c r="I10" s="6">
        <f t="shared" si="2"/>
        <v>7.5</v>
      </c>
    </row>
    <row r="11" spans="1:9" x14ac:dyDescent="0.35">
      <c r="A11" s="2" t="s">
        <v>18</v>
      </c>
      <c r="B11" s="3">
        <v>8</v>
      </c>
      <c r="C11" s="3">
        <v>14</v>
      </c>
      <c r="D11" s="4">
        <v>20</v>
      </c>
      <c r="E11" s="4">
        <v>10</v>
      </c>
      <c r="F11" s="5">
        <f t="shared" si="0"/>
        <v>30</v>
      </c>
      <c r="G11" s="4">
        <v>2</v>
      </c>
      <c r="H11" s="6">
        <f t="shared" si="1"/>
        <v>28</v>
      </c>
      <c r="I11" s="6">
        <f t="shared" si="2"/>
        <v>12</v>
      </c>
    </row>
    <row r="12" spans="1:9" x14ac:dyDescent="0.35">
      <c r="A12" s="2" t="s">
        <v>19</v>
      </c>
      <c r="B12" s="3">
        <v>2</v>
      </c>
      <c r="C12" s="3">
        <v>4</v>
      </c>
      <c r="D12" s="4">
        <v>20</v>
      </c>
      <c r="E12" s="4">
        <v>10</v>
      </c>
      <c r="F12" s="5">
        <f t="shared" si="0"/>
        <v>30</v>
      </c>
      <c r="G12" s="4">
        <v>1</v>
      </c>
      <c r="H12" s="6">
        <f t="shared" si="1"/>
        <v>4</v>
      </c>
      <c r="I12" s="6">
        <f t="shared" si="2"/>
        <v>2</v>
      </c>
    </row>
    <row r="13" spans="1:9" x14ac:dyDescent="0.35">
      <c r="A13" s="2" t="s">
        <v>20</v>
      </c>
      <c r="B13" s="3">
        <v>4</v>
      </c>
      <c r="C13" s="3">
        <v>7</v>
      </c>
      <c r="D13" s="4">
        <v>20</v>
      </c>
      <c r="E13" s="4">
        <v>10</v>
      </c>
      <c r="F13" s="5">
        <f t="shared" si="0"/>
        <v>30</v>
      </c>
      <c r="G13" s="4">
        <v>0</v>
      </c>
      <c r="H13" s="6">
        <f t="shared" si="1"/>
        <v>0</v>
      </c>
      <c r="I13" s="6">
        <f t="shared" si="2"/>
        <v>0</v>
      </c>
    </row>
    <row r="14" spans="1:9" ht="24" customHeight="1" x14ac:dyDescent="0.35">
      <c r="A14" s="7" t="s">
        <v>21</v>
      </c>
      <c r="B14" s="8"/>
      <c r="C14" s="8"/>
      <c r="D14" s="8"/>
      <c r="E14" s="8"/>
      <c r="F14" s="8"/>
      <c r="G14" s="9">
        <f>SUM(G4:G13)</f>
        <v>26</v>
      </c>
      <c r="H14" s="10">
        <f>SUM(H4:H13)</f>
        <v>344</v>
      </c>
      <c r="I14" s="10">
        <f>SUM(I4:I13)</f>
        <v>-258</v>
      </c>
    </row>
    <row r="16" spans="1:9" x14ac:dyDescent="0.35">
      <c r="A16" s="11" t="s">
        <v>22</v>
      </c>
      <c r="B16" s="12">
        <f>IF(H14&gt;0, I14/H14, 0)</f>
        <v>-0.75</v>
      </c>
    </row>
    <row r="17" spans="1:2" x14ac:dyDescent="0.35">
      <c r="A17" s="11" t="s">
        <v>23</v>
      </c>
      <c r="B17" s="13">
        <f>SUMPRODUCT(F4:F13, B4:B13)</f>
        <v>8950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workbookViewId="0">
      <pane ySplit="2" topLeftCell="A3" activePane="bottomLeft" state="frozen"/>
      <selection pane="bottomLeft" activeCell="B10" sqref="B10"/>
    </sheetView>
  </sheetViews>
  <sheetFormatPr defaultRowHeight="14.5" x14ac:dyDescent="0.35"/>
  <cols>
    <col min="1" max="1" width="14" customWidth="1"/>
    <col min="2" max="2" width="45" customWidth="1"/>
    <col min="3" max="3" width="16" customWidth="1"/>
    <col min="4" max="4" width="18" customWidth="1"/>
    <col min="5" max="5" width="16" customWidth="1"/>
    <col min="6" max="6" width="18" customWidth="1"/>
    <col min="7" max="7" width="12" customWidth="1"/>
  </cols>
  <sheetData>
    <row r="1" spans="1:7" ht="30" customHeight="1" x14ac:dyDescent="0.35">
      <c r="A1" s="22" t="s">
        <v>24</v>
      </c>
      <c r="B1" s="20"/>
      <c r="C1" s="20"/>
      <c r="D1" s="20"/>
      <c r="E1" s="20"/>
      <c r="F1" s="20"/>
      <c r="G1" s="20"/>
    </row>
    <row r="2" spans="1:7" ht="28" customHeight="1" x14ac:dyDescent="0.3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</row>
    <row r="3" spans="1:7" x14ac:dyDescent="0.35">
      <c r="A3" s="14">
        <v>46086</v>
      </c>
      <c r="B3" s="15" t="s">
        <v>32</v>
      </c>
      <c r="C3" s="15">
        <v>35</v>
      </c>
      <c r="D3" s="16">
        <v>497.41</v>
      </c>
      <c r="E3" s="16">
        <v>225.95</v>
      </c>
      <c r="F3" s="16">
        <v>271.45999999999998</v>
      </c>
      <c r="G3" s="17">
        <f t="shared" ref="G3:G9" si="0">IF(D3&gt;0, F3/D3, 0)</f>
        <v>0.54574696930097899</v>
      </c>
    </row>
    <row r="4" spans="1:7" x14ac:dyDescent="0.35">
      <c r="A4" s="14">
        <v>46087</v>
      </c>
      <c r="B4" s="15" t="s">
        <v>32</v>
      </c>
      <c r="C4" s="15">
        <v>24</v>
      </c>
      <c r="D4" s="16">
        <v>363.26</v>
      </c>
      <c r="E4" s="16">
        <v>172.08</v>
      </c>
      <c r="F4" s="16">
        <v>191.18</v>
      </c>
      <c r="G4" s="17">
        <f t="shared" si="0"/>
        <v>0.52628970984969448</v>
      </c>
    </row>
    <row r="5" spans="1:7" x14ac:dyDescent="0.35">
      <c r="A5" s="14">
        <v>46088</v>
      </c>
      <c r="B5" s="15" t="s">
        <v>32</v>
      </c>
      <c r="C5" s="15">
        <v>23</v>
      </c>
      <c r="D5" s="16">
        <v>510.08</v>
      </c>
      <c r="E5" s="16">
        <v>306.89999999999998</v>
      </c>
      <c r="F5" s="16">
        <v>203.18</v>
      </c>
      <c r="G5" s="17">
        <f t="shared" si="0"/>
        <v>0.39832967377666251</v>
      </c>
    </row>
    <row r="6" spans="1:7" x14ac:dyDescent="0.35">
      <c r="A6" s="14">
        <v>46089</v>
      </c>
      <c r="B6" s="15" t="s">
        <v>32</v>
      </c>
      <c r="C6" s="15">
        <v>23</v>
      </c>
      <c r="D6" s="16">
        <v>480.77</v>
      </c>
      <c r="E6" s="16">
        <v>218.94</v>
      </c>
      <c r="F6" s="16">
        <v>261.83</v>
      </c>
      <c r="G6" s="17">
        <f t="shared" si="0"/>
        <v>0.54460552863115419</v>
      </c>
    </row>
    <row r="7" spans="1:7" x14ac:dyDescent="0.35">
      <c r="A7" s="14">
        <v>46090</v>
      </c>
      <c r="B7" s="15" t="s">
        <v>32</v>
      </c>
      <c r="C7" s="15">
        <v>19</v>
      </c>
      <c r="D7" s="16">
        <v>354.34</v>
      </c>
      <c r="E7" s="16">
        <v>189.89</v>
      </c>
      <c r="F7" s="16">
        <v>164.45</v>
      </c>
      <c r="G7" s="17">
        <f t="shared" si="0"/>
        <v>0.4641022746514647</v>
      </c>
    </row>
    <row r="8" spans="1:7" x14ac:dyDescent="0.35">
      <c r="A8" s="14">
        <v>46091</v>
      </c>
      <c r="B8" s="15" t="s">
        <v>32</v>
      </c>
      <c r="C8" s="15">
        <v>52</v>
      </c>
      <c r="D8" s="16">
        <v>470.82</v>
      </c>
      <c r="E8" s="16">
        <v>269.18</v>
      </c>
      <c r="F8" s="16">
        <v>201.64</v>
      </c>
      <c r="G8" s="17">
        <f t="shared" si="0"/>
        <v>0.42827407501805359</v>
      </c>
    </row>
    <row r="9" spans="1:7" x14ac:dyDescent="0.35">
      <c r="A9" s="14">
        <v>46092</v>
      </c>
      <c r="B9" s="15" t="s">
        <v>32</v>
      </c>
      <c r="C9" s="15">
        <v>35</v>
      </c>
      <c r="D9" s="16">
        <v>422.64</v>
      </c>
      <c r="E9" s="16">
        <v>222.46</v>
      </c>
      <c r="F9" s="16">
        <v>200.18</v>
      </c>
      <c r="G9" s="17">
        <f t="shared" si="0"/>
        <v>0.47364187014953629</v>
      </c>
    </row>
    <row r="10" spans="1:7" x14ac:dyDescent="0.35">
      <c r="A10" s="24">
        <v>46092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showGridLines="0" workbookViewId="0"/>
  </sheetViews>
  <sheetFormatPr defaultRowHeight="14.5" x14ac:dyDescent="0.35"/>
  <cols>
    <col min="1" max="1" width="16" customWidth="1"/>
    <col min="2" max="3" width="22" customWidth="1"/>
    <col min="4" max="4" width="14" customWidth="1"/>
  </cols>
  <sheetData>
    <row r="1" spans="1:4" ht="28" customHeight="1" x14ac:dyDescent="0.35">
      <c r="A1" s="23" t="s">
        <v>33</v>
      </c>
      <c r="B1" s="20"/>
      <c r="C1" s="20"/>
      <c r="D1" s="20"/>
    </row>
    <row r="2" spans="1:4" x14ac:dyDescent="0.35">
      <c r="A2" s="1" t="s">
        <v>25</v>
      </c>
      <c r="B2" s="1" t="s">
        <v>34</v>
      </c>
      <c r="C2" s="1" t="s">
        <v>35</v>
      </c>
      <c r="D2" s="1" t="s">
        <v>36</v>
      </c>
    </row>
    <row r="3" spans="1:4" x14ac:dyDescent="0.35">
      <c r="A3" s="18" t="s">
        <v>37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Daily Sales Log</vt:lpstr>
      <vt:lpstr>ML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SHIRLLY MOLOTO</cp:lastModifiedBy>
  <dcterms:created xsi:type="dcterms:W3CDTF">2026-03-12T12:04:55Z</dcterms:created>
  <dcterms:modified xsi:type="dcterms:W3CDTF">2026-03-12T13:56:05Z</dcterms:modified>
</cp:coreProperties>
</file>